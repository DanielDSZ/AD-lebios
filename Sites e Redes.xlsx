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iais" sheetId="1" r:id="rId5"/>
    <sheet state="visible" name="Sub-redes" sheetId="2" r:id="rId6"/>
    <sheet state="visible" name="Links WAN" sheetId="3" r:id="rId7"/>
  </sheets>
  <definedNames/>
  <calcPr/>
</workbook>
</file>

<file path=xl/sharedStrings.xml><?xml version="1.0" encoding="utf-8"?>
<sst xmlns="http://schemas.openxmlformats.org/spreadsheetml/2006/main" count="79" uniqueCount="60">
  <si>
    <t>ID do site</t>
  </si>
  <si>
    <t>De → Para</t>
  </si>
  <si>
    <t>Finalidade</t>
  </si>
  <si>
    <t>Tipo</t>
  </si>
  <si>
    <t>Nome</t>
  </si>
  <si>
    <t>Banda</t>
  </si>
  <si>
    <t xml:space="preserve">Endereço </t>
  </si>
  <si>
    <t>Latência est.</t>
  </si>
  <si>
    <t>Fuso Horário</t>
  </si>
  <si>
    <t>Redundância</t>
  </si>
  <si>
    <t>Responsavel Local</t>
  </si>
  <si>
    <t>Disponibilidade alvo</t>
  </si>
  <si>
    <t>CIDR</t>
  </si>
  <si>
    <t>Usuários</t>
  </si>
  <si>
    <t>Gateway</t>
  </si>
  <si>
    <t>Pico de Logon</t>
  </si>
  <si>
    <t>Observações</t>
  </si>
  <si>
    <t>DC local planejado</t>
  </si>
  <si>
    <t>MTR</t>
  </si>
  <si>
    <t>Estações</t>
  </si>
  <si>
    <t>10.10.0.0/23</t>
  </si>
  <si>
    <t>Matriz BH</t>
  </si>
  <si>
    <t>Matriz</t>
  </si>
  <si>
    <t>Av. Savassi</t>
  </si>
  <si>
    <t>UTC-3</t>
  </si>
  <si>
    <t>Daniel</t>
  </si>
  <si>
    <t>HQ → FIL-A</t>
  </si>
  <si>
    <t>Fibra dedicada + VPN reserva</t>
  </si>
  <si>
    <t>100 Mbps / 20 Mbps</t>
  </si>
  <si>
    <t>FIL-A</t>
  </si>
  <si>
    <t>10 ms</t>
  </si>
  <si>
    <t>Filial SP</t>
  </si>
  <si>
    <t>Sim</t>
  </si>
  <si>
    <t>Filial</t>
  </si>
  <si>
    <t>99,9%</t>
  </si>
  <si>
    <t>Av. Guarulhos</t>
  </si>
  <si>
    <t>HQ → FIL-B</t>
  </si>
  <si>
    <t>Fibra + VPN reserva</t>
  </si>
  <si>
    <t>David</t>
  </si>
  <si>
    <t>50 Mbps / 20 Mbps</t>
  </si>
  <si>
    <t>358 estações + folga</t>
  </si>
  <si>
    <t>20 ms</t>
  </si>
  <si>
    <t>FIL-B</t>
  </si>
  <si>
    <t>Serdores</t>
  </si>
  <si>
    <t>10.10.2.0/24</t>
  </si>
  <si>
    <t>Filial RJ</t>
  </si>
  <si>
    <t>Av. Lebron</t>
  </si>
  <si>
    <t>99,5%</t>
  </si>
  <si>
    <t>DCs com IP estático</t>
  </si>
  <si>
    <t>HQ → FIL-C</t>
  </si>
  <si>
    <t>Geraldo</t>
  </si>
  <si>
    <t>35 ms</t>
  </si>
  <si>
    <t>Estações + Servidores</t>
  </si>
  <si>
    <t>FIL-C</t>
  </si>
  <si>
    <t>10.10.10.0/24</t>
  </si>
  <si>
    <t>Filial ES</t>
  </si>
  <si>
    <t>Av. Vitoria</t>
  </si>
  <si>
    <t>Ana</t>
  </si>
  <si>
    <t>10.10.20.0/24</t>
  </si>
  <si>
    <t>10.10.30.0/24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</si>
</sst>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Links W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-re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ia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J6" displayName="Table1" name="Table1" id="3">
  <tableColumns count="9">
    <tableColumn name="ID do site" id="1"/>
    <tableColumn name="Nome" id="2"/>
    <tableColumn name="Tipo" id="3"/>
    <tableColumn name="Endereço " id="4"/>
    <tableColumn name="Fuso Horário" id="5"/>
    <tableColumn name="Responsavel Local" id="6"/>
    <tableColumn name="Usuários" id="7"/>
    <tableColumn name="Pico de Logon" id="8"/>
    <tableColumn name="DC local planejado" id="9"/>
  </tableColumns>
  <tableStyleInfo name="Filiais-style" showColumnStripes="0" showFirstColumn="1" showLastColumn="1" showRowStripes="1"/>
</table>
</file>

<file path=xl/tables/table2.xml><?xml version="1.0" encoding="utf-8"?>
<table xmlns="http://schemas.openxmlformats.org/spreadsheetml/2006/main" ref="B2:F7" displayName="Table2" name="Table2" id="2">
  <tableColumns count="5">
    <tableColumn name="ID do site" id="1"/>
    <tableColumn name="Finalidade" id="2"/>
    <tableColumn name="CIDR" id="3"/>
    <tableColumn name="Gateway" id="4"/>
    <tableColumn name="Observações" id="5"/>
  </tableColumns>
  <tableStyleInfo name="Sub-redes-style" showColumnStripes="0" showFirstColumn="1" showLastColumn="1" showRowStripes="1"/>
</table>
</file>

<file path=xl/tables/table3.xml><?xml version="1.0" encoding="utf-8"?>
<table xmlns="http://schemas.openxmlformats.org/spreadsheetml/2006/main" ref="B2:G5" displayName="Table3" name="Table3" id="1">
  <tableColumns count="6">
    <tableColumn name="De → Para" id="1"/>
    <tableColumn name="Tipo" id="2"/>
    <tableColumn name="Banda" id="3"/>
    <tableColumn name="Latência est." id="4"/>
    <tableColumn name="Redundância" id="5"/>
    <tableColumn name="Disponibilidade alvo" id="6"/>
  </tableColumns>
  <tableStyleInfo name="Links W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  <col customWidth="1" min="6" max="6" width="15.0"/>
    <col customWidth="1" min="7" max="7" width="19.38"/>
    <col customWidth="1" min="9" max="9" width="16.13"/>
    <col customWidth="1" min="10" max="10" width="19.25"/>
  </cols>
  <sheetData>
    <row r="2" ht="22.5" customHeight="1">
      <c r="B2" s="1" t="s">
        <v>0</v>
      </c>
      <c r="C2" s="1" t="s">
        <v>4</v>
      </c>
      <c r="D2" s="1" t="s">
        <v>3</v>
      </c>
      <c r="E2" s="1" t="s">
        <v>6</v>
      </c>
      <c r="F2" s="1" t="s">
        <v>8</v>
      </c>
      <c r="G2" s="1" t="s">
        <v>10</v>
      </c>
      <c r="H2" s="1" t="s">
        <v>13</v>
      </c>
      <c r="I2" s="1" t="s">
        <v>15</v>
      </c>
      <c r="J2" s="1" t="s">
        <v>17</v>
      </c>
    </row>
    <row r="3" ht="22.5" customHeight="1">
      <c r="B3" s="4" t="s">
        <v>18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>
        <v>300.0</v>
      </c>
      <c r="I3" s="4">
        <v>155.0</v>
      </c>
    </row>
    <row r="4" ht="22.5" customHeight="1">
      <c r="B4" s="4" t="s">
        <v>29</v>
      </c>
      <c r="C4" s="4" t="s">
        <v>31</v>
      </c>
      <c r="D4" s="4" t="s">
        <v>33</v>
      </c>
      <c r="E4" s="4" t="s">
        <v>35</v>
      </c>
      <c r="F4" s="4" t="s">
        <v>24</v>
      </c>
      <c r="G4" s="4" t="s">
        <v>38</v>
      </c>
      <c r="H4" s="4">
        <v>110.0</v>
      </c>
      <c r="I4" s="4">
        <v>53.0</v>
      </c>
    </row>
    <row r="5" ht="22.5" customHeight="1">
      <c r="B5" s="4" t="s">
        <v>42</v>
      </c>
      <c r="C5" s="4" t="s">
        <v>45</v>
      </c>
      <c r="D5" s="4" t="s">
        <v>33</v>
      </c>
      <c r="E5" s="4" t="s">
        <v>46</v>
      </c>
      <c r="F5" s="4" t="s">
        <v>24</v>
      </c>
      <c r="G5" s="4" t="s">
        <v>50</v>
      </c>
      <c r="H5" s="4">
        <v>82.0</v>
      </c>
      <c r="I5" s="4">
        <v>37.0</v>
      </c>
    </row>
    <row r="6" ht="22.5" customHeight="1">
      <c r="B6" s="4" t="s">
        <v>53</v>
      </c>
      <c r="C6" s="4" t="s">
        <v>55</v>
      </c>
      <c r="D6" s="4" t="s">
        <v>33</v>
      </c>
      <c r="E6" s="4" t="s">
        <v>56</v>
      </c>
      <c r="F6" s="4" t="s">
        <v>24</v>
      </c>
      <c r="G6" s="4" t="s">
        <v>57</v>
      </c>
      <c r="H6" s="4">
        <v>55.0</v>
      </c>
      <c r="I6" s="4">
        <v>23.0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  <col customWidth="1" min="6" max="6" width="19.75"/>
  </cols>
  <sheetData>
    <row r="2" ht="22.5" customHeight="1">
      <c r="B2" s="1" t="s">
        <v>0</v>
      </c>
      <c r="C2" s="3" t="s">
        <v>2</v>
      </c>
      <c r="D2" s="3" t="s">
        <v>12</v>
      </c>
      <c r="E2" s="3" t="s">
        <v>14</v>
      </c>
      <c r="F2" s="3" t="s">
        <v>16</v>
      </c>
    </row>
    <row r="3" ht="22.5" customHeight="1">
      <c r="B3" s="4" t="s">
        <v>18</v>
      </c>
      <c r="C3" s="4" t="s">
        <v>19</v>
      </c>
      <c r="D3" s="4" t="s">
        <v>20</v>
      </c>
      <c r="E3" s="4" t="str">
        <f t="shared" ref="E3:E7" si="1">CONCATENATE(LEFT(D3,FIND("/",D3) - 2),LEFT(D3,FIND(".",D3) - 2))</f>
        <v>10.10.0.1</v>
      </c>
      <c r="F3" s="4" t="s">
        <v>40</v>
      </c>
    </row>
    <row r="4" ht="22.5" customHeight="1">
      <c r="B4" s="4" t="s">
        <v>18</v>
      </c>
      <c r="C4" s="4" t="s">
        <v>43</v>
      </c>
      <c r="D4" s="4" t="s">
        <v>44</v>
      </c>
      <c r="E4" s="4" t="str">
        <f t="shared" si="1"/>
        <v>10.10.2.1</v>
      </c>
      <c r="F4" s="4" t="s">
        <v>48</v>
      </c>
    </row>
    <row r="5" ht="22.5" customHeight="1">
      <c r="B5" s="4" t="s">
        <v>29</v>
      </c>
      <c r="C5" s="4" t="s">
        <v>52</v>
      </c>
      <c r="D5" s="4" t="s">
        <v>54</v>
      </c>
      <c r="E5" s="5" t="str">
        <f t="shared" si="1"/>
        <v>10.10.10.1</v>
      </c>
    </row>
    <row r="6" ht="22.5" customHeight="1">
      <c r="B6" s="4" t="s">
        <v>42</v>
      </c>
      <c r="C6" s="4" t="s">
        <v>52</v>
      </c>
      <c r="D6" s="4" t="s">
        <v>58</v>
      </c>
      <c r="E6" s="5" t="str">
        <f t="shared" si="1"/>
        <v>10.10.20.1</v>
      </c>
    </row>
    <row r="7" ht="22.5" customHeight="1">
      <c r="B7" s="4" t="s">
        <v>53</v>
      </c>
      <c r="C7" s="4" t="s">
        <v>52</v>
      </c>
      <c r="D7" s="4" t="s">
        <v>59</v>
      </c>
      <c r="E7" s="5" t="str">
        <f t="shared" si="1"/>
        <v>10.10.30.1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24.13"/>
    <col customWidth="1" min="4" max="4" width="17.63"/>
    <col customWidth="1" min="5" max="5" width="28.5"/>
    <col customWidth="1" min="6" max="6" width="15.25"/>
    <col customWidth="1" min="7" max="7" width="20.63"/>
  </cols>
  <sheetData>
    <row r="2" ht="22.5" customHeight="1">
      <c r="B2" s="2" t="s">
        <v>1</v>
      </c>
      <c r="C2" s="2" t="s">
        <v>3</v>
      </c>
      <c r="D2" s="2" t="s">
        <v>5</v>
      </c>
      <c r="E2" s="2" t="s">
        <v>7</v>
      </c>
      <c r="F2" s="2" t="s">
        <v>9</v>
      </c>
      <c r="G2" s="2" t="s">
        <v>11</v>
      </c>
    </row>
    <row r="3" ht="22.5" customHeight="1">
      <c r="B3" s="4" t="s">
        <v>26</v>
      </c>
      <c r="C3" s="4" t="s">
        <v>27</v>
      </c>
      <c r="D3" s="4" t="s">
        <v>28</v>
      </c>
      <c r="E3" s="4" t="s">
        <v>30</v>
      </c>
      <c r="F3" s="4" t="s">
        <v>32</v>
      </c>
      <c r="G3" s="4" t="s">
        <v>34</v>
      </c>
    </row>
    <row r="4" ht="22.5" customHeight="1">
      <c r="B4" s="4" t="s">
        <v>36</v>
      </c>
      <c r="C4" s="4" t="s">
        <v>37</v>
      </c>
      <c r="D4" s="4" t="s">
        <v>39</v>
      </c>
      <c r="E4" s="4" t="s">
        <v>41</v>
      </c>
      <c r="F4" s="4" t="s">
        <v>32</v>
      </c>
      <c r="G4" s="4" t="s">
        <v>47</v>
      </c>
    </row>
    <row r="5" ht="22.5" customHeight="1">
      <c r="B5" s="4" t="s">
        <v>49</v>
      </c>
      <c r="C5" s="4" t="s">
        <v>37</v>
      </c>
      <c r="D5" s="4" t="s">
        <v>39</v>
      </c>
      <c r="E5" s="4" t="s">
        <v>51</v>
      </c>
      <c r="F5" s="4" t="s">
        <v>32</v>
      </c>
      <c r="G5" s="4" t="s">
        <v>47</v>
      </c>
    </row>
  </sheetData>
  <drawing r:id="rId1"/>
  <tableParts count="1">
    <tablePart r:id="rId3"/>
  </tableParts>
</worksheet>
</file>